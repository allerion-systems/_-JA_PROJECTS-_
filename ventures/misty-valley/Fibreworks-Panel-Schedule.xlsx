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nel Schedule" sheetId="1" state="visible" r:id="rId1"/>
  </sheets>
  <definedNames>
    <definedName name="_xlnm.Print_Area" localSheetId="0">'Panel Schedule'!$A$1:$F$46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050"/>
      <sz val="14"/>
    </font>
    <font>
      <name val="Arial"/>
      <color rgb="005A6470"/>
      <sz val="9.5"/>
    </font>
    <font>
      <name val="Arial"/>
      <b val="1"/>
      <color rgb="00FFFFFF"/>
      <sz val="9"/>
    </font>
    <font>
      <name val="Arial"/>
      <color rgb="001C2329"/>
      <sz val="9.5"/>
    </font>
    <font>
      <name val="Arial"/>
      <b val="1"/>
      <color rgb="001C2329"/>
      <sz val="10"/>
    </font>
    <font>
      <name val="Arial"/>
      <b val="1"/>
      <color rgb="001F3050"/>
      <sz val="10"/>
    </font>
    <font>
      <name val="Arial"/>
      <i val="1"/>
      <color rgb="005A6470"/>
      <sz val="8.5"/>
    </font>
  </fonts>
  <fills count="3">
    <fill>
      <patternFill/>
    </fill>
    <fill>
      <patternFill patternType="gray125"/>
    </fill>
    <fill>
      <patternFill patternType="solid">
        <fgColor rgb="001F3050"/>
      </patternFill>
    </fill>
  </fills>
  <borders count="2">
    <border>
      <left/>
      <right/>
      <top/>
      <bottom/>
      <diagonal/>
    </border>
    <border>
      <left style="thin">
        <color rgb="00D9DCD9"/>
      </left>
      <right style="thin">
        <color rgb="00D9DCD9"/>
      </right>
      <top style="thin">
        <color rgb="00D9DCD9"/>
      </top>
      <bottom style="thin">
        <color rgb="00D9DC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4" fillId="0" borderId="1" applyAlignment="1" pivotButton="0" quotePrefix="0" xfId="0">
      <alignment horizontal="right"/>
    </xf>
    <xf numFmtId="0" fontId="5" fillId="0" borderId="1" pivotButton="0" quotePrefix="0" xfId="0"/>
    <xf numFmtId="0" fontId="0" fillId="0" borderId="1" pivotButton="0" quotePrefix="0" xfId="0"/>
    <xf numFmtId="0" fontId="5" fillId="0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6" fillId="0" borderId="0" pivotButton="0" quotePrefix="0" xfId="0"/>
    <xf numFmtId="0" fontId="4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4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2" customWidth="1" min="3" max="3"/>
    <col width="16" customWidth="1" min="4" max="4"/>
    <col width="16" customWidth="1" min="5" max="5"/>
    <col width="30" customWidth="1" min="6" max="6"/>
  </cols>
  <sheetData>
    <row r="1">
      <c r="A1" s="1" t="inlineStr">
        <is>
          <t>FIBREWORKS — INSULATED WALL PANEL SCHEDULE (rev D)</t>
        </is>
      </c>
    </row>
    <row r="2">
      <c r="A2" s="2" t="inlineStr">
        <is>
          <t>2301 Brennen Business Court, Louisville, KY 40299 · Full-perimeter re-side · R&amp;B Roofing &amp; Remodeling</t>
        </is>
      </c>
    </row>
    <row r="3">
      <c r="A3" s="2" t="inlineStr">
        <is>
          <t>Basis: 19'-0" vertical panels (site photo + area math; field verify). High-rib insulated metal wall panel, 1.5" core. Counts break at corners. Wall #s per aerial key.</t>
        </is>
      </c>
    </row>
    <row r="5">
      <c r="A5" s="3" t="inlineStr">
        <is>
          <t>Wall #</t>
        </is>
      </c>
      <c r="B5" s="3" t="inlineStr">
        <is>
          <t>Faces</t>
        </is>
      </c>
      <c r="C5" s="3" t="inlineStr">
        <is>
          <t>Length (ft)</t>
        </is>
      </c>
      <c r="D5" s="3" t="inlineStr">
        <is>
          <t>Pieces @ 36" cov.</t>
        </is>
      </c>
      <c r="E5" s="3" t="inlineStr">
        <is>
          <t>Pieces @ 40" cov.</t>
        </is>
      </c>
      <c r="F5" s="3" t="inlineStr">
        <is>
          <t>Notes</t>
        </is>
      </c>
    </row>
    <row r="6">
      <c r="A6" s="4" t="n">
        <v>1</v>
      </c>
      <c r="B6" s="4" t="inlineStr">
        <is>
          <t>SSW</t>
        </is>
      </c>
      <c r="C6" s="5" t="n">
        <v>100.3</v>
      </c>
      <c r="D6" s="5" t="n">
        <v>34</v>
      </c>
      <c r="E6" s="5" t="n">
        <v>31</v>
      </c>
      <c r="F6" s="5" t="inlineStr"/>
    </row>
    <row r="7">
      <c r="A7" s="4" t="n">
        <v>2</v>
      </c>
      <c r="B7" s="4" t="inlineStr">
        <is>
          <t>ESE</t>
        </is>
      </c>
      <c r="C7" s="5" t="n">
        <v>31.8</v>
      </c>
      <c r="D7" s="5" t="n">
        <v>11</v>
      </c>
      <c r="E7" s="5" t="n">
        <v>10</v>
      </c>
      <c r="F7" s="5" t="inlineStr"/>
    </row>
    <row r="8">
      <c r="A8" s="4" t="n">
        <v>3</v>
      </c>
      <c r="B8" s="4" t="inlineStr">
        <is>
          <t>WSW</t>
        </is>
      </c>
      <c r="C8" s="5" t="n">
        <v>30</v>
      </c>
      <c r="D8" s="5" t="n">
        <v>10</v>
      </c>
      <c r="E8" s="5" t="n">
        <v>9</v>
      </c>
      <c r="F8" s="5" t="inlineStr"/>
    </row>
    <row r="9">
      <c r="A9" s="4" t="n">
        <v>4</v>
      </c>
      <c r="B9" s="4" t="inlineStr">
        <is>
          <t>SSW</t>
        </is>
      </c>
      <c r="C9" s="5" t="n">
        <v>593.2</v>
      </c>
      <c r="D9" s="5" t="n">
        <v>198</v>
      </c>
      <c r="E9" s="5" t="n">
        <v>178</v>
      </c>
      <c r="F9" s="5" t="inlineStr"/>
    </row>
    <row r="10">
      <c r="A10" s="4" t="n">
        <v>5</v>
      </c>
      <c r="B10" s="4" t="inlineStr">
        <is>
          <t>ESE</t>
        </is>
      </c>
      <c r="C10" s="5" t="n">
        <v>187.7</v>
      </c>
      <c r="D10" s="5" t="n">
        <v>63</v>
      </c>
      <c r="E10" s="5" t="n">
        <v>57</v>
      </c>
      <c r="F10" s="5" t="inlineStr"/>
    </row>
    <row r="11">
      <c r="A11" s="4" t="n">
        <v>6</v>
      </c>
      <c r="B11" s="4" t="inlineStr">
        <is>
          <t>E</t>
        </is>
      </c>
      <c r="C11" s="5" t="n">
        <v>19.2</v>
      </c>
      <c r="D11" s="5" t="n">
        <v>7</v>
      </c>
      <c r="E11" s="5" t="n">
        <v>6</v>
      </c>
      <c r="F11" s="5" t="inlineStr"/>
    </row>
    <row r="12">
      <c r="A12" s="4" t="n">
        <v>7</v>
      </c>
      <c r="B12" s="4" t="inlineStr">
        <is>
          <t>NNE</t>
        </is>
      </c>
      <c r="C12" s="5" t="n">
        <v>91</v>
      </c>
      <c r="D12" s="5" t="n">
        <v>31</v>
      </c>
      <c r="E12" s="5" t="n">
        <v>28</v>
      </c>
      <c r="F12" s="5" t="inlineStr"/>
    </row>
    <row r="13">
      <c r="A13" s="4" t="n">
        <v>8</v>
      </c>
      <c r="B13" s="4" t="inlineStr">
        <is>
          <t>ESE</t>
        </is>
      </c>
      <c r="C13" s="5" t="n">
        <v>65.5</v>
      </c>
      <c r="D13" s="5" t="n">
        <v>22</v>
      </c>
      <c r="E13" s="5" t="n">
        <v>20</v>
      </c>
      <c r="F13" s="5" t="inlineStr"/>
    </row>
    <row r="14">
      <c r="A14" s="4" t="n">
        <v>9</v>
      </c>
      <c r="B14" s="4" t="inlineStr">
        <is>
          <t>NNE</t>
        </is>
      </c>
      <c r="C14" s="5" t="n">
        <v>79.8</v>
      </c>
      <c r="D14" s="5" t="n">
        <v>27</v>
      </c>
      <c r="E14" s="5" t="n">
        <v>24</v>
      </c>
      <c r="F14" s="5" t="inlineStr"/>
    </row>
    <row r="15">
      <c r="A15" s="4" t="n">
        <v>10</v>
      </c>
      <c r="B15" s="4" t="inlineStr">
        <is>
          <t>E</t>
        </is>
      </c>
      <c r="C15" s="5" t="n">
        <v>16.1</v>
      </c>
      <c r="D15" s="5" t="n">
        <v>6</v>
      </c>
      <c r="E15" s="5" t="n">
        <v>5</v>
      </c>
      <c r="F15" s="5" t="inlineStr"/>
    </row>
    <row r="16">
      <c r="A16" s="4" t="n">
        <v>11</v>
      </c>
      <c r="B16" s="4" t="inlineStr">
        <is>
          <t>N</t>
        </is>
      </c>
      <c r="C16" s="5" t="n">
        <v>29.7</v>
      </c>
      <c r="D16" s="5" t="n">
        <v>10</v>
      </c>
      <c r="E16" s="5" t="n">
        <v>9</v>
      </c>
      <c r="F16" s="5" t="inlineStr"/>
    </row>
    <row r="17">
      <c r="A17" s="4" t="n">
        <v>12</v>
      </c>
      <c r="B17" s="4" t="inlineStr">
        <is>
          <t>NNE</t>
        </is>
      </c>
      <c r="C17" s="5" t="n">
        <v>85.3</v>
      </c>
      <c r="D17" s="5" t="n">
        <v>29</v>
      </c>
      <c r="E17" s="5" t="n">
        <v>26</v>
      </c>
      <c r="F17" s="5" t="inlineStr"/>
    </row>
    <row r="18">
      <c r="A18" s="4" t="n">
        <v>13</v>
      </c>
      <c r="B18" s="4" t="inlineStr">
        <is>
          <t>E</t>
        </is>
      </c>
      <c r="C18" s="5" t="n">
        <v>13</v>
      </c>
      <c r="D18" s="5" t="n">
        <v>5</v>
      </c>
      <c r="E18" s="5" t="n">
        <v>4</v>
      </c>
      <c r="F18" s="5" t="inlineStr"/>
    </row>
    <row r="19">
      <c r="A19" s="4" t="n">
        <v>14</v>
      </c>
      <c r="B19" s="4" t="inlineStr">
        <is>
          <t>NNE</t>
        </is>
      </c>
      <c r="C19" s="5" t="n">
        <v>242.6</v>
      </c>
      <c r="D19" s="5" t="n">
        <v>81</v>
      </c>
      <c r="E19" s="5" t="n">
        <v>73</v>
      </c>
      <c r="F19" s="5" t="inlineStr"/>
    </row>
    <row r="20">
      <c r="A20" s="4" t="n">
        <v>15</v>
      </c>
      <c r="B20" s="4" t="inlineStr">
        <is>
          <t>WNW</t>
        </is>
      </c>
      <c r="C20" s="5" t="n">
        <v>47.9</v>
      </c>
      <c r="D20" s="5" t="n">
        <v>16</v>
      </c>
      <c r="E20" s="5" t="n">
        <v>15</v>
      </c>
      <c r="F20" s="5" t="inlineStr"/>
    </row>
    <row r="21">
      <c r="A21" s="4" t="n">
        <v>16</v>
      </c>
      <c r="B21" s="4" t="inlineStr">
        <is>
          <t>SSE</t>
        </is>
      </c>
      <c r="C21" s="5" t="n">
        <v>20.6</v>
      </c>
      <c r="D21" s="5" t="n">
        <v>7</v>
      </c>
      <c r="E21" s="5" t="n">
        <v>7</v>
      </c>
      <c r="F21" s="5" t="inlineStr"/>
    </row>
    <row r="22">
      <c r="A22" s="4" t="n">
        <v>17</v>
      </c>
      <c r="B22" s="4" t="inlineStr">
        <is>
          <t>WNW</t>
        </is>
      </c>
      <c r="C22" s="5" t="n">
        <v>61.7</v>
      </c>
      <c r="D22" s="5" t="n">
        <v>21</v>
      </c>
      <c r="E22" s="5" t="n">
        <v>19</v>
      </c>
      <c r="F22" s="5" t="inlineStr"/>
    </row>
    <row r="23">
      <c r="A23" s="4" t="n">
        <v>18</v>
      </c>
      <c r="B23" s="4" t="inlineStr">
        <is>
          <t>NNE</t>
        </is>
      </c>
      <c r="C23" s="5" t="n">
        <v>103.8</v>
      </c>
      <c r="D23" s="5" t="n">
        <v>35</v>
      </c>
      <c r="E23" s="5" t="n">
        <v>32</v>
      </c>
      <c r="F23" s="5" t="inlineStr"/>
    </row>
    <row r="24">
      <c r="A24" s="4" t="n">
        <v>19</v>
      </c>
      <c r="B24" s="4" t="inlineStr">
        <is>
          <t>SE</t>
        </is>
      </c>
      <c r="C24" s="5" t="n">
        <v>23.9</v>
      </c>
      <c r="D24" s="5" t="n">
        <v>8</v>
      </c>
      <c r="E24" s="5" t="n">
        <v>8</v>
      </c>
      <c r="F24" s="5" t="inlineStr"/>
    </row>
    <row r="25">
      <c r="A25" s="4" t="n">
        <v>20</v>
      </c>
      <c r="B25" s="4" t="inlineStr">
        <is>
          <t>ESE</t>
        </is>
      </c>
      <c r="C25" s="5" t="n">
        <v>66.2</v>
      </c>
      <c r="D25" s="5" t="n">
        <v>23</v>
      </c>
      <c r="E25" s="5" t="n">
        <v>20</v>
      </c>
      <c r="F25" s="5" t="inlineStr"/>
    </row>
    <row r="26">
      <c r="A26" s="4" t="n">
        <v>21</v>
      </c>
      <c r="B26" s="4" t="inlineStr">
        <is>
          <t>NNE</t>
        </is>
      </c>
      <c r="C26" s="5" t="n">
        <v>128.9</v>
      </c>
      <c r="D26" s="5" t="n">
        <v>43</v>
      </c>
      <c r="E26" s="5" t="n">
        <v>39</v>
      </c>
      <c r="F26" s="5" t="inlineStr"/>
    </row>
    <row r="27">
      <c r="A27" s="4" t="n">
        <v>22</v>
      </c>
      <c r="B27" s="4" t="inlineStr">
        <is>
          <t>WNW</t>
        </is>
      </c>
      <c r="C27" s="5" t="n">
        <v>76.90000000000001</v>
      </c>
      <c r="D27" s="5" t="n">
        <v>26</v>
      </c>
      <c r="E27" s="5" t="n">
        <v>24</v>
      </c>
      <c r="F27" s="5" t="inlineStr"/>
    </row>
    <row r="28">
      <c r="A28" s="4" t="n">
        <v>23</v>
      </c>
      <c r="B28" s="4" t="inlineStr">
        <is>
          <t>N</t>
        </is>
      </c>
      <c r="C28" s="5" t="n">
        <v>12</v>
      </c>
      <c r="D28" s="5" t="n">
        <v>5</v>
      </c>
      <c r="E28" s="5" t="n">
        <v>4</v>
      </c>
      <c r="F28" s="5" t="inlineStr"/>
    </row>
    <row r="29">
      <c r="A29" s="4" t="n">
        <v>24</v>
      </c>
      <c r="B29" s="4" t="inlineStr">
        <is>
          <t>W</t>
        </is>
      </c>
      <c r="C29" s="5" t="n">
        <v>16.4</v>
      </c>
      <c r="D29" s="5" t="n">
        <v>6</v>
      </c>
      <c r="E29" s="5" t="n">
        <v>5</v>
      </c>
      <c r="F29" s="5" t="inlineStr"/>
    </row>
    <row r="30">
      <c r="A30" s="4" t="n">
        <v>25</v>
      </c>
      <c r="B30" s="4" t="inlineStr">
        <is>
          <t>SSW</t>
        </is>
      </c>
      <c r="C30" s="5" t="n">
        <v>24.2</v>
      </c>
      <c r="D30" s="5" t="n">
        <v>9</v>
      </c>
      <c r="E30" s="5" t="n">
        <v>8</v>
      </c>
      <c r="F30" s="5" t="inlineStr"/>
    </row>
    <row r="31">
      <c r="A31" s="4" t="n">
        <v>26</v>
      </c>
      <c r="B31" s="4" t="inlineStr">
        <is>
          <t>WNW</t>
        </is>
      </c>
      <c r="C31" s="5" t="n">
        <v>174.5</v>
      </c>
      <c r="D31" s="5" t="n">
        <v>59</v>
      </c>
      <c r="E31" s="5" t="n">
        <v>53</v>
      </c>
      <c r="F31" s="5" t="inlineStr"/>
    </row>
    <row r="32">
      <c r="A32" s="4" t="n">
        <v>27</v>
      </c>
      <c r="B32" s="4" t="inlineStr">
        <is>
          <t>W</t>
        </is>
      </c>
      <c r="C32" s="5" t="n">
        <v>12.3</v>
      </c>
      <c r="D32" s="5" t="n">
        <v>5</v>
      </c>
      <c r="E32" s="5" t="n">
        <v>4</v>
      </c>
      <c r="F32" s="5" t="inlineStr"/>
    </row>
    <row r="33">
      <c r="A33" s="6" t="inlineStr">
        <is>
          <t>TOTAL</t>
        </is>
      </c>
      <c r="B33" s="7" t="n"/>
      <c r="C33" s="8">
        <f>SUM(C6:C32)</f>
        <v/>
      </c>
      <c r="D33" s="8">
        <f>SUM(D6:D32)</f>
        <v/>
      </c>
      <c r="E33" s="8">
        <f>SUM(E6:E32)</f>
        <v/>
      </c>
      <c r="F33" s="9" t="n"/>
    </row>
    <row r="35">
      <c r="A35" s="10" t="inlineStr">
        <is>
          <t>TRIM &amp; ACCESSORIES (quote line by line)</t>
        </is>
      </c>
    </row>
    <row r="36">
      <c r="A36" s="11" t="inlineStr">
        <is>
          <t>Base trim</t>
        </is>
      </c>
      <c r="D36" s="11" t="inlineStr">
        <is>
          <t>2,354 LF</t>
        </is>
      </c>
    </row>
    <row r="37">
      <c r="A37" s="11" t="inlineStr">
        <is>
          <t>Eave/rake trim</t>
        </is>
      </c>
      <c r="D37" s="11" t="inlineStr">
        <is>
          <t>2,354 LF</t>
        </is>
      </c>
    </row>
    <row r="38">
      <c r="A38" s="11" t="inlineStr">
        <is>
          <t>Corner trim</t>
        </is>
      </c>
      <c r="D38" s="11" t="inlineStr">
        <is>
          <t>25 corners x 19'-0" (16 outside / 9 inside)</t>
        </is>
      </c>
    </row>
    <row r="39">
      <c r="A39" s="11" t="inlineStr">
        <is>
          <t>Jamb/head trim at openings (louvers, doors)</t>
        </is>
      </c>
      <c r="D39" s="11" t="inlineStr">
        <is>
          <t>field measure</t>
        </is>
      </c>
    </row>
    <row r="40">
      <c r="A40" s="11" t="inlineStr">
        <is>
          <t>Closures &amp; fasteners</t>
        </is>
      </c>
      <c r="D40" s="11" t="inlineStr">
        <is>
          <t>per manufacturer schedule</t>
        </is>
      </c>
    </row>
    <row r="42">
      <c r="A42" s="12" t="inlineStr">
        <is>
          <t>NOTES: Footprint traced by ML segmentation + gradient edge-snapping on Google z20 imagery; verified at zoom on all elevations. Perimeter 2,354 LF; area cross-checked vs OSM/FEMA footprints.</t>
        </is>
      </c>
    </row>
    <row r="43">
      <c r="A43" s="12" t="inlineStr">
        <is>
          <t>19'-0" eave basis: implied 19.3' from 45,500 sf gross over perimeter; site photo scales ~19-20' vs standard man-door. FIELD VERIFY heights; gable-end walls have raked tops (variable lengths).</t>
        </is>
      </c>
    </row>
    <row r="44">
      <c r="A44" s="12" t="inlineStr">
        <is>
          <t>797 pcs x 3' x 19' = 45,429 sf vs 45,500 sf gross scope. Openings (louvers, doors) NOT deducted; quote gross sq ft, opening trim itemized.</t>
        </is>
      </c>
    </row>
    <row r="45">
      <c r="A45" s="12" t="inlineStr">
        <is>
          <t>Possible two-tone exterior (white body / green eave band per existing) — confirm colors and pricing impact.</t>
        </is>
      </c>
    </row>
    <row r="46">
      <c r="A46" s="12" t="inlineStr">
        <is>
          <t>Wall numbers reference the aerial key (fibreworks-walls-key.png).</t>
        </is>
      </c>
    </row>
  </sheetData>
  <mergeCells count="10">
    <mergeCell ref="D38:F38"/>
    <mergeCell ref="A42:F42"/>
    <mergeCell ref="A46:F46"/>
    <mergeCell ref="D37:F37"/>
    <mergeCell ref="A44:F44"/>
    <mergeCell ref="A45:F45"/>
    <mergeCell ref="D40:F40"/>
    <mergeCell ref="D36:F36"/>
    <mergeCell ref="D39:F39"/>
    <mergeCell ref="A43:F43"/>
  </mergeCells>
  <pageMargins left="0.4" right="0.4" top="0.5" bottom="0.5" header="0.5" footer="0.5"/>
  <pageSetup orientation="portrait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2026-09-07T02:41:44Z</dcterms:created>
  <dcterms:modified xsi:type="dcterms:W3CDTF">2026-09-07T02:41:44Z</dcterms:modified>
</cp:coreProperties>
</file>