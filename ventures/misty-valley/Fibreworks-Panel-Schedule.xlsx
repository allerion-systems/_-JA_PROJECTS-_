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 Schedule" sheetId="1" state="visible" r:id="rId1"/>
  </sheets>
  <definedNames>
    <definedName name="_xlnm.Print_Area" localSheetId="0">'Panel Schedule'!$A$1:$G$40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050"/>
      <sz val="13"/>
    </font>
    <font>
      <name val="Arial"/>
      <color rgb="005A6470"/>
      <sz val="9.5"/>
    </font>
    <font>
      <name val="Arial"/>
      <b val="1"/>
      <color rgb="00FFFFFF"/>
      <sz val="9"/>
    </font>
    <font>
      <name val="Arial"/>
      <b val="1"/>
      <color rgb="001F3050"/>
      <sz val="10"/>
    </font>
    <font>
      <name val="Arial"/>
      <color rgb="001C2329"/>
      <sz val="9.5"/>
    </font>
    <font>
      <name val="Arial"/>
      <b val="1"/>
      <color rgb="001C2329"/>
      <sz val="10"/>
    </font>
    <font>
      <name val="Arial"/>
      <color rgb="005A6470"/>
      <sz val="9"/>
    </font>
    <font>
      <name val="Arial"/>
      <b val="1"/>
      <color rgb="005A6470"/>
      <sz val="9"/>
    </font>
    <font>
      <name val="Arial"/>
      <i val="1"/>
      <color rgb="005A6470"/>
      <sz val="8.5"/>
    </font>
  </fonts>
  <fills count="3">
    <fill>
      <patternFill/>
    </fill>
    <fill>
      <patternFill patternType="gray125"/>
    </fill>
    <fill>
      <patternFill patternType="solid">
        <fgColor rgb="001F3050"/>
      </patternFill>
    </fill>
  </fills>
  <borders count="2">
    <border>
      <left/>
      <right/>
      <top/>
      <bottom/>
      <diagonal/>
    </border>
    <border>
      <left style="thin">
        <color rgb="00D9DCD9"/>
      </left>
      <right style="thin">
        <color rgb="00D9DCD9"/>
      </right>
      <top style="thin">
        <color rgb="00D9DCD9"/>
      </top>
      <bottom style="thin">
        <color rgb="00D9DC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0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3" customWidth="1" min="4" max="4"/>
    <col width="15" customWidth="1" min="5" max="5"/>
    <col width="15" customWidth="1" min="6" max="6"/>
    <col width="28" customWidth="1" min="7" max="7"/>
  </cols>
  <sheetData>
    <row r="1">
      <c r="A1" s="1" t="inlineStr">
        <is>
          <t>FIBREWORKS — INSULATED WALL PANEL SCHEDULE (rev E · true-ortho + LiDAR)</t>
        </is>
      </c>
    </row>
    <row r="2">
      <c r="A2" s="2" t="inlineStr">
        <is>
          <t>2301 Brennen Business Court, Louisville, KY 40299 · three structures traced separately · wall heights from LiDAR</t>
        </is>
      </c>
    </row>
    <row r="3">
      <c r="A3" s="2" t="inlineStr">
        <is>
          <t>Panels: high-rib insulated metal wall panel, 1.5" core, vertical single-piece at eave height. Counts break at corners. Wall IDs per line diagram.</t>
        </is>
      </c>
    </row>
    <row r="5">
      <c r="A5" s="3" t="inlineStr">
        <is>
          <t>Wall</t>
        </is>
      </c>
      <c r="B5" s="3" t="inlineStr">
        <is>
          <t>Faces</t>
        </is>
      </c>
      <c r="C5" s="3" t="inlineStr">
        <is>
          <t>Length (ft)</t>
        </is>
      </c>
      <c r="D5" s="3" t="inlineStr">
        <is>
          <t>Eave (ft)</t>
        </is>
      </c>
      <c r="E5" s="3" t="inlineStr">
        <is>
          <t>Pcs @36"</t>
        </is>
      </c>
      <c r="F5" s="3" t="inlineStr">
        <is>
          <t>Pcs @40"</t>
        </is>
      </c>
      <c r="G5" s="3" t="inlineStr">
        <is>
          <t>Notes</t>
        </is>
      </c>
    </row>
    <row r="6">
      <c r="A6" s="4" t="inlineStr">
        <is>
          <t>A — MAIN WAREHOUSE</t>
        </is>
      </c>
    </row>
    <row r="7">
      <c r="A7" s="5" t="inlineStr">
        <is>
          <t>A1</t>
        </is>
      </c>
      <c r="B7" s="5" t="inlineStr">
        <is>
          <t>W</t>
        </is>
      </c>
      <c r="C7" s="6" t="n">
        <v>593</v>
      </c>
      <c r="D7" s="6" t="n">
        <v>25</v>
      </c>
      <c r="E7" s="6" t="n">
        <v>198</v>
      </c>
      <c r="F7" s="6" t="n">
        <v>178</v>
      </c>
      <c r="G7" s="6" t="inlineStr"/>
    </row>
    <row r="8">
      <c r="A8" s="5" t="inlineStr">
        <is>
          <t>A2</t>
        </is>
      </c>
      <c r="B8" s="5" t="inlineStr">
        <is>
          <t>S</t>
        </is>
      </c>
      <c r="C8" s="6" t="n">
        <v>191</v>
      </c>
      <c r="D8" s="6" t="n">
        <v>25</v>
      </c>
      <c r="E8" s="6" t="n">
        <v>64</v>
      </c>
      <c r="F8" s="6" t="n">
        <v>58</v>
      </c>
      <c r="G8" s="6" t="inlineStr"/>
    </row>
    <row r="9">
      <c r="A9" s="5" t="inlineStr">
        <is>
          <t>A3</t>
        </is>
      </c>
      <c r="B9" s="5" t="inlineStr">
        <is>
          <t>E</t>
        </is>
      </c>
      <c r="C9" s="6" t="n">
        <v>87</v>
      </c>
      <c r="D9" s="6" t="n">
        <v>25</v>
      </c>
      <c r="E9" s="6" t="n">
        <v>29</v>
      </c>
      <c r="F9" s="6" t="n">
        <v>26</v>
      </c>
      <c r="G9" s="6" t="inlineStr"/>
    </row>
    <row r="10">
      <c r="A10" s="5" t="inlineStr">
        <is>
          <t>A4</t>
        </is>
      </c>
      <c r="B10" s="5" t="inlineStr">
        <is>
          <t>S</t>
        </is>
      </c>
      <c r="C10" s="6" t="n">
        <v>81</v>
      </c>
      <c r="D10" s="6" t="n">
        <v>25</v>
      </c>
      <c r="E10" s="6" t="n">
        <v>27</v>
      </c>
      <c r="F10" s="6" t="n">
        <v>25</v>
      </c>
      <c r="G10" s="6" t="inlineStr"/>
    </row>
    <row r="11">
      <c r="A11" s="5" t="inlineStr">
        <is>
          <t>A5</t>
        </is>
      </c>
      <c r="B11" s="5" t="inlineStr">
        <is>
          <t>E</t>
        </is>
      </c>
      <c r="C11" s="6" t="n">
        <v>435</v>
      </c>
      <c r="D11" s="6" t="n">
        <v>25</v>
      </c>
      <c r="E11" s="6" t="n">
        <v>146</v>
      </c>
      <c r="F11" s="6" t="n">
        <v>131</v>
      </c>
      <c r="G11" s="6" t="inlineStr"/>
    </row>
    <row r="12">
      <c r="A12" s="5" t="inlineStr">
        <is>
          <t>A6</t>
        </is>
      </c>
      <c r="B12" s="5" t="inlineStr">
        <is>
          <t>N</t>
        </is>
      </c>
      <c r="C12" s="6" t="n">
        <v>81</v>
      </c>
      <c r="D12" s="6" t="n">
        <v>25</v>
      </c>
      <c r="E12" s="6" t="n">
        <v>28</v>
      </c>
      <c r="F12" s="6" t="n">
        <v>25</v>
      </c>
      <c r="G12" s="6" t="inlineStr"/>
    </row>
    <row r="13">
      <c r="A13" s="5" t="inlineStr">
        <is>
          <t>A7</t>
        </is>
      </c>
      <c r="B13" s="5" t="inlineStr">
        <is>
          <t>E</t>
        </is>
      </c>
      <c r="C13" s="6" t="n">
        <v>70</v>
      </c>
      <c r="D13" s="6" t="n">
        <v>25</v>
      </c>
      <c r="E13" s="6" t="n">
        <v>24</v>
      </c>
      <c r="F13" s="6" t="n">
        <v>21</v>
      </c>
      <c r="G13" s="6" t="inlineStr"/>
    </row>
    <row r="14">
      <c r="A14" s="5" t="inlineStr">
        <is>
          <t>A8</t>
        </is>
      </c>
      <c r="B14" s="5" t="inlineStr">
        <is>
          <t>N</t>
        </is>
      </c>
      <c r="C14" s="6" t="n">
        <v>191</v>
      </c>
      <c r="D14" s="6" t="n">
        <v>25</v>
      </c>
      <c r="E14" s="6" t="n">
        <v>64</v>
      </c>
      <c r="F14" s="6" t="n">
        <v>58</v>
      </c>
      <c r="G14" s="6" t="inlineStr"/>
    </row>
    <row r="15">
      <c r="A15" s="7" t="inlineStr">
        <is>
          <t>A total</t>
        </is>
      </c>
      <c r="B15" s="8" t="n"/>
      <c r="C15" s="9">
        <f>SUM(C7:C14)</f>
        <v/>
      </c>
      <c r="D15" s="10" t="n"/>
      <c r="E15" s="9">
        <f>SUM(E7:E14)</f>
        <v/>
      </c>
      <c r="F15" s="9">
        <f>SUM(F7:F14)</f>
        <v/>
      </c>
      <c r="G15" s="11" t="inlineStr">
        <is>
          <t>wall sf = 43,225 (432 SQ)</t>
        </is>
      </c>
    </row>
    <row r="17">
      <c r="A17" s="4" t="inlineStr">
        <is>
          <t>B — NORTH BUILDING</t>
        </is>
      </c>
    </row>
    <row r="18">
      <c r="A18" s="5" t="inlineStr">
        <is>
          <t>B1</t>
        </is>
      </c>
      <c r="B18" s="5" t="inlineStr">
        <is>
          <t>W</t>
        </is>
      </c>
      <c r="C18" s="6" t="n">
        <v>100</v>
      </c>
      <c r="D18" s="6" t="n">
        <v>23</v>
      </c>
      <c r="E18" s="6" t="n">
        <v>34</v>
      </c>
      <c r="F18" s="6" t="n">
        <v>30</v>
      </c>
      <c r="G18" s="6" t="inlineStr"/>
    </row>
    <row r="19">
      <c r="A19" s="5" t="inlineStr">
        <is>
          <t>B2</t>
        </is>
      </c>
      <c r="B19" s="5" t="inlineStr">
        <is>
          <t>S</t>
        </is>
      </c>
      <c r="C19" s="6" t="n">
        <v>188</v>
      </c>
      <c r="D19" s="6" t="n">
        <v>23</v>
      </c>
      <c r="E19" s="6" t="n">
        <v>63</v>
      </c>
      <c r="F19" s="6" t="n">
        <v>57</v>
      </c>
      <c r="G19" s="6" t="inlineStr"/>
    </row>
    <row r="20">
      <c r="A20" s="5" t="inlineStr">
        <is>
          <t>B3</t>
        </is>
      </c>
      <c r="B20" s="5" t="inlineStr">
        <is>
          <t>E</t>
        </is>
      </c>
      <c r="C20" s="6" t="n">
        <v>99</v>
      </c>
      <c r="D20" s="6" t="n">
        <v>23</v>
      </c>
      <c r="E20" s="6" t="n">
        <v>34</v>
      </c>
      <c r="F20" s="6" t="n">
        <v>30</v>
      </c>
      <c r="G20" s="6" t="inlineStr"/>
    </row>
    <row r="21">
      <c r="A21" s="5" t="inlineStr">
        <is>
          <t>B4</t>
        </is>
      </c>
      <c r="B21" s="5" t="inlineStr">
        <is>
          <t>N</t>
        </is>
      </c>
      <c r="C21" s="6" t="n">
        <v>188</v>
      </c>
      <c r="D21" s="6" t="n">
        <v>23</v>
      </c>
      <c r="E21" s="6" t="n">
        <v>63</v>
      </c>
      <c r="F21" s="6" t="n">
        <v>57</v>
      </c>
      <c r="G21" s="6" t="inlineStr"/>
    </row>
    <row r="22">
      <c r="A22" s="7" t="inlineStr">
        <is>
          <t>B total</t>
        </is>
      </c>
      <c r="B22" s="8" t="n"/>
      <c r="C22" s="9">
        <f>SUM(C18:C21)</f>
        <v/>
      </c>
      <c r="D22" s="10" t="n"/>
      <c r="E22" s="9">
        <f>SUM(E18:E21)</f>
        <v/>
      </c>
      <c r="F22" s="9">
        <f>SUM(F18:F21)</f>
        <v/>
      </c>
      <c r="G22" s="11" t="inlineStr">
        <is>
          <t>wall sf = 13,225 (132 SQ)</t>
        </is>
      </c>
    </row>
    <row r="24">
      <c r="A24" s="4" t="inlineStr">
        <is>
          <t>C — NE ANNEX</t>
        </is>
      </c>
    </row>
    <row r="25">
      <c r="A25" s="5" t="inlineStr">
        <is>
          <t>C1</t>
        </is>
      </c>
      <c r="B25" s="5" t="inlineStr">
        <is>
          <t>N</t>
        </is>
      </c>
      <c r="C25" s="6" t="n">
        <v>86</v>
      </c>
      <c r="D25" s="6" t="n">
        <v>21</v>
      </c>
      <c r="E25" s="6" t="n">
        <v>29</v>
      </c>
      <c r="F25" s="6" t="n">
        <v>26</v>
      </c>
      <c r="G25" s="6" t="inlineStr"/>
    </row>
    <row r="26">
      <c r="A26" s="5" t="inlineStr">
        <is>
          <t>C2</t>
        </is>
      </c>
      <c r="B26" s="5" t="inlineStr">
        <is>
          <t>E</t>
        </is>
      </c>
      <c r="C26" s="6" t="n">
        <v>127</v>
      </c>
      <c r="D26" s="6" t="n">
        <v>21</v>
      </c>
      <c r="E26" s="6" t="n">
        <v>43</v>
      </c>
      <c r="F26" s="6" t="n">
        <v>38</v>
      </c>
      <c r="G26" s="6" t="inlineStr"/>
    </row>
    <row r="27">
      <c r="A27" s="5" t="inlineStr">
        <is>
          <t>C3</t>
        </is>
      </c>
      <c r="B27" s="5" t="inlineStr">
        <is>
          <t>S</t>
        </is>
      </c>
      <c r="C27" s="6" t="n">
        <v>86</v>
      </c>
      <c r="D27" s="6" t="n">
        <v>21</v>
      </c>
      <c r="E27" s="6" t="n">
        <v>29</v>
      </c>
      <c r="F27" s="6" t="n">
        <v>26</v>
      </c>
      <c r="G27" s="6" t="inlineStr"/>
    </row>
    <row r="28">
      <c r="A28" s="5" t="inlineStr">
        <is>
          <t>C4</t>
        </is>
      </c>
      <c r="B28" s="5" t="inlineStr">
        <is>
          <t>W</t>
        </is>
      </c>
      <c r="C28" s="6" t="n">
        <v>127</v>
      </c>
      <c r="D28" s="6" t="n">
        <v>21</v>
      </c>
      <c r="E28" s="6" t="n">
        <v>43</v>
      </c>
      <c r="F28" s="6" t="n">
        <v>38</v>
      </c>
      <c r="G28" s="6" t="inlineStr"/>
    </row>
    <row r="29">
      <c r="A29" s="7" t="inlineStr">
        <is>
          <t>C total</t>
        </is>
      </c>
      <c r="B29" s="8" t="n"/>
      <c r="C29" s="9">
        <f>SUM(C25:C28)</f>
        <v/>
      </c>
      <c r="D29" s="10" t="n"/>
      <c r="E29" s="9">
        <f>SUM(E25:E28)</f>
        <v/>
      </c>
      <c r="F29" s="9">
        <f>SUM(F25:F28)</f>
        <v/>
      </c>
      <c r="G29" s="11" t="inlineStr">
        <is>
          <t>wall sf = 8,946 (89 SQ)</t>
        </is>
      </c>
    </row>
    <row r="31">
      <c r="A31" s="4" t="inlineStr">
        <is>
          <t>SCOPE SCENARIOS (walls only, gross, no opening deducts)</t>
        </is>
      </c>
    </row>
    <row r="32">
      <c r="A32" s="12" t="inlineStr">
        <is>
          <t>Scenario</t>
        </is>
      </c>
      <c r="B32" s="12" t="inlineStr"/>
      <c r="C32" s="12" t="inlineStr">
        <is>
          <t>Perimeter LF</t>
        </is>
      </c>
      <c r="D32" s="12" t="inlineStr">
        <is>
          <t>Wall sf</t>
        </is>
      </c>
      <c r="E32" s="12" t="inlineStr">
        <is>
          <t>Pcs @36"</t>
        </is>
      </c>
      <c r="F32" s="12" t="inlineStr">
        <is>
          <t>Pcs @40"</t>
        </is>
      </c>
      <c r="G32" s="12" t="inlineStr">
        <is>
          <t>vs 455 SQ scope</t>
        </is>
      </c>
    </row>
    <row r="33">
      <c r="A33" s="5" t="inlineStr">
        <is>
          <t>Building A only</t>
        </is>
      </c>
      <c r="B33" s="5" t="inlineStr"/>
      <c r="C33" s="6" t="n">
        <v>1729</v>
      </c>
      <c r="D33" s="6" t="n">
        <v>43225</v>
      </c>
      <c r="E33" s="6" t="n">
        <v>580</v>
      </c>
      <c r="F33" s="6" t="n">
        <v>522</v>
      </c>
      <c r="G33" s="5" t="inlineStr">
        <is>
          <t>432 SQ (-5%)</t>
        </is>
      </c>
    </row>
    <row r="34">
      <c r="A34" s="5" t="inlineStr">
        <is>
          <t>A + C</t>
        </is>
      </c>
      <c r="B34" s="5" t="inlineStr"/>
      <c r="C34" s="6" t="n">
        <v>2155</v>
      </c>
      <c r="D34" s="6" t="n">
        <v>52171</v>
      </c>
      <c r="E34" s="6" t="n">
        <v>724</v>
      </c>
      <c r="F34" s="6" t="n">
        <v>650</v>
      </c>
      <c r="G34" s="5" t="inlineStr">
        <is>
          <t>522 SQ (+15%)</t>
        </is>
      </c>
    </row>
    <row r="35">
      <c r="A35" s="5" t="inlineStr">
        <is>
          <t>A + B + C</t>
        </is>
      </c>
      <c r="B35" s="5" t="inlineStr"/>
      <c r="C35" s="6" t="n">
        <v>2730</v>
      </c>
      <c r="D35" s="6" t="n">
        <v>65396</v>
      </c>
      <c r="E35" s="6" t="n">
        <v>918</v>
      </c>
      <c r="F35" s="6" t="n">
        <v>824</v>
      </c>
      <c r="G35" s="5" t="inlineStr">
        <is>
          <t>654 SQ (+44%)</t>
        </is>
      </c>
    </row>
    <row r="37">
      <c r="A37" s="13" t="inlineStr">
        <is>
          <t>METHOD: Footprints traced on Kentucky 3-inch true-orthophoto (KyFromAbove, straight-down; roof edge = wall line). Three structures traced separately; A's yard canopies excluded.</t>
        </is>
      </c>
    </row>
    <row r="38">
      <c r="A38" s="13" t="inlineStr">
        <is>
          <t>HEIGHTS: Eave heights are LiDAR-derived (KyFromAbove DSM minus DEM, edge-band median): A ~25 ft (ridge ~49 ft, gable ends run higher), B ~23 ft, C ~21 ft. ±2 ft. FIELD VERIFY.</t>
        </is>
      </c>
    </row>
    <row r="39">
      <c r="A39" s="13" t="inlineStr">
        <is>
          <t>SCOPE CHECK: A alone at its LiDAR eave = 43,000-45,500 sf, matching the 455 SQ scope; all three buildings would be ~650 SQ. Confirm scope before ordering.</t>
        </is>
      </c>
    </row>
    <row r="40">
      <c r="A40" s="13" t="inlineStr">
        <is>
          <t>Openings (louvers, doors, docks) not deducted. Gable-end walls (A north/south) carry raked tops — variable panel lengths at field measure. Possible two-tone exterior (white body / green band).</t>
        </is>
      </c>
    </row>
  </sheetData>
  <mergeCells count="7">
    <mergeCell ref="A17:G17"/>
    <mergeCell ref="A40:G40"/>
    <mergeCell ref="A6:G6"/>
    <mergeCell ref="A39:G39"/>
    <mergeCell ref="A38:G38"/>
    <mergeCell ref="A24:G24"/>
    <mergeCell ref="A37:G37"/>
  </mergeCells>
  <pageMargins left="0.4" right="0.4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2026-09-07T03:15:15Z</dcterms:created>
  <dcterms:modified xsi:type="dcterms:W3CDTF">2026-09-07T03:15:15Z</dcterms:modified>
</cp:coreProperties>
</file>