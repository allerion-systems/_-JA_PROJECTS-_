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52449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165" fontId="5" fillId="3" borderId="1" pivotButton="0" quotePrefix="0" xfId="0"/>
    <xf numFmtId="164" fontId="5" fillId="3" borderId="1" pivotButton="0" quotePrefix="0" xfId="0"/>
    <xf numFmtId="164" fontId="4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164" fontId="5" fillId="3" borderId="0" pivotButton="0" quotePrefix="0" xfId="0"/>
    <xf numFmtId="166" fontId="5" fillId="3" borderId="0" pivotButton="0" quotePrefix="0" xfId="0"/>
    <xf numFmtId="164" fontId="6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22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455 SQ (45,500 sf) Commercial High-Rib Insulated Panel — Supplier Quote Comparison</t>
        </is>
      </c>
    </row>
    <row r="2">
      <c r="A2" s="2" t="inlineStr">
        <is>
          <t>Blue cells = enter the numbers each supplier quotes. Everything else computes. Middle-pricing rule per Ben: pick the middle materials bid, not lowest or highest.</t>
        </is>
      </c>
    </row>
    <row r="4">
      <c r="A4" s="3" t="inlineStr">
        <is>
          <t>Supplier / product</t>
        </is>
      </c>
      <c r="B4" s="3" t="inlineStr">
        <is>
          <t>Core &amp; thickness</t>
        </is>
      </c>
      <c r="C4" s="3" t="inlineStr">
        <is>
          <t>Coverage</t>
        </is>
      </c>
      <c r="D4" s="3" t="inlineStr">
        <is>
          <t>Nearest plant</t>
        </is>
      </c>
      <c r="E4" s="3" t="inlineStr">
        <is>
          <t>Lead time (wks)</t>
        </is>
      </c>
      <c r="F4" s="3" t="inlineStr">
        <is>
          <t>$ / sq ft (materials)</t>
        </is>
      </c>
      <c r="G4" s="3" t="inlineStr">
        <is>
          <t>Freight total ($)</t>
        </is>
      </c>
      <c r="H4" s="3" t="inlineStr">
        <is>
          <t>Materials 45,500 sf</t>
        </is>
      </c>
      <c r="I4" s="3" t="inlineStr">
        <is>
          <t>Delivered total</t>
        </is>
      </c>
    </row>
    <row r="5">
      <c r="A5" s="4" t="inlineStr">
        <is>
          <t>Metl-Span (Nucor) — LS-36</t>
        </is>
      </c>
      <c r="B5" s="4" t="inlineStr">
        <is>
          <t>PIR 1.5" (exact match)</t>
        </is>
      </c>
      <c r="C5" s="4" t="inlineStr">
        <is>
          <t>36"</t>
        </is>
      </c>
      <c r="D5" s="4" t="inlineStr">
        <is>
          <t>Verify nearest (877-585-9969)</t>
        </is>
      </c>
      <c r="E5" s="5" t="n"/>
      <c r="F5" s="6" t="n"/>
      <c r="G5" s="7" t="n"/>
      <c r="H5" s="8">
        <f>IF(F5="","",F5*45500)</f>
        <v/>
      </c>
      <c r="I5" s="8">
        <f>IF(F5="","",H5+IF(G5="",0,G5))</f>
        <v/>
      </c>
    </row>
    <row r="6">
      <c r="A6" s="4" t="inlineStr">
        <is>
          <t>Kingspan — KingRib roof</t>
        </is>
      </c>
      <c r="B6" s="4" t="inlineStr">
        <is>
          <t>PIR 1.5" min</t>
        </is>
      </c>
      <c r="C6" s="4" t="inlineStr">
        <is>
          <t>40"</t>
        </is>
      </c>
      <c r="D6" s="4" t="inlineStr">
        <is>
          <t>Mattoon IL (verify running)</t>
        </is>
      </c>
      <c r="E6" s="5" t="n"/>
      <c r="F6" s="6" t="n"/>
      <c r="G6" s="7" t="n"/>
      <c r="H6" s="8">
        <f>IF(F6="","",F6*45500)</f>
        <v/>
      </c>
      <c r="I6" s="8">
        <f>IF(F6="","",H6+IF(G6="",0,G6))</f>
        <v/>
      </c>
    </row>
    <row r="7">
      <c r="A7" s="4" t="inlineStr">
        <is>
          <t>McElroy Metal — Lewisport KY (Green Span RidgeLine)</t>
        </is>
      </c>
      <c r="B7" s="4" t="inlineStr">
        <is>
          <t>PIR 2.5" min</t>
        </is>
      </c>
      <c r="C7" s="4" t="inlineStr">
        <is>
          <t>36"</t>
        </is>
      </c>
      <c r="D7" s="4" t="inlineStr">
        <is>
          <t>Lewisport KY (~60 mi)</t>
        </is>
      </c>
      <c r="E7" s="5" t="n"/>
      <c r="F7" s="6" t="n"/>
      <c r="G7" s="7" t="n"/>
      <c r="H7" s="8">
        <f>IF(F7="","",F7*45500)</f>
        <v/>
      </c>
      <c r="I7" s="8">
        <f>IF(F7="","",H7+IF(G7="",0,G7))</f>
        <v/>
      </c>
    </row>
    <row r="8">
      <c r="A8" s="4" t="inlineStr">
        <is>
          <t>AWIP — HR3</t>
        </is>
      </c>
      <c r="B8" s="4" t="inlineStr">
        <is>
          <t>PIR 2" min</t>
        </is>
      </c>
      <c r="C8" s="4" t="inlineStr">
        <is>
          <t>36"</t>
        </is>
      </c>
      <c r="D8" s="4" t="inlineStr">
        <is>
          <t>Little Rock AR (~450 mi)</t>
        </is>
      </c>
      <c r="E8" s="5" t="n"/>
      <c r="F8" s="6" t="n"/>
      <c r="G8" s="7" t="n"/>
      <c r="H8" s="8">
        <f>IF(F8="","",F8*45500)</f>
        <v/>
      </c>
      <c r="I8" s="8">
        <f>IF(F8="","",H8+IF(G8="",0,G8))</f>
        <v/>
      </c>
    </row>
    <row r="9">
      <c r="A9" s="4" t="inlineStr">
        <is>
          <t>PermaTherm — PermaStock (24-hr quotes)</t>
        </is>
      </c>
      <c r="B9" s="4" t="inlineStr">
        <is>
          <t>EPS core (verify spec fit)</t>
        </is>
      </c>
      <c r="C9" s="4" t="inlineStr">
        <is>
          <t>varies</t>
        </is>
      </c>
      <c r="D9" s="4" t="inlineStr">
        <is>
          <t>Monticello GA</t>
        </is>
      </c>
      <c r="E9" s="5" t="n"/>
      <c r="F9" s="6" t="n"/>
      <c r="G9" s="7" t="n"/>
      <c r="H9" s="8">
        <f>IF(F9="","",F9*45500)</f>
        <v/>
      </c>
      <c r="I9" s="8">
        <f>IF(F9="","",H9+IF(G9="",0,G9))</f>
        <v/>
      </c>
    </row>
    <row r="10">
      <c r="A10" s="4" t="inlineStr">
        <is>
          <t>(add supplier)</t>
        </is>
      </c>
      <c r="B10" s="4" t="inlineStr"/>
      <c r="C10" s="4" t="inlineStr"/>
      <c r="D10" s="4" t="inlineStr"/>
      <c r="E10" s="5" t="n"/>
      <c r="F10" s="6" t="n"/>
      <c r="G10" s="7" t="n"/>
      <c r="H10" s="8">
        <f>IF(F10="","",F10*45500)</f>
        <v/>
      </c>
      <c r="I10" s="8">
        <f>IF(F10="","",H10+IF(G10="",0,G10))</f>
        <v/>
      </c>
    </row>
    <row r="12">
      <c r="A12" s="9" t="inlineStr">
        <is>
          <t>MVS SELL PRICE BUILD (internal only — never shows on Scott's quote)</t>
        </is>
      </c>
    </row>
    <row r="13">
      <c r="A13" s="10" t="inlineStr">
        <is>
          <t>Chosen supplier delivered total (type from column I)</t>
        </is>
      </c>
      <c r="F13" s="11" t="n"/>
    </row>
    <row r="14">
      <c r="A14" s="10" t="inlineStr">
        <is>
          <t>MVS margin % (Ben/Joey decision — catalog 60% floor is a retail rule; negotiated commodity resale is priced by decision, typical distributor band is well below that)</t>
        </is>
      </c>
      <c r="F14" s="12" t="n">
        <v>0.15</v>
      </c>
    </row>
    <row r="15">
      <c r="A15" s="9" t="inlineStr">
        <is>
          <t>SELL PRICE TO CUSTOMER</t>
        </is>
      </c>
      <c r="F15" s="13">
        <f>IF(F13="","",ROUND(F13*(1+F14),0))</f>
        <v/>
      </c>
    </row>
    <row r="16">
      <c r="A16" s="10" t="inlineStr">
        <is>
          <t>Margin $</t>
        </is>
      </c>
      <c r="F16" s="14">
        <f>IF(F13="","",F15-F13)</f>
        <v/>
      </c>
    </row>
    <row r="18">
      <c r="A18" s="15" t="inlineStr">
        <is>
          <t>- GATE: quote goes to Scott Waldman only after Joey's dual role is disclosed to him in writing. Ben leads the transaction.</t>
        </is>
      </c>
    </row>
    <row r="19">
      <c r="A19" s="15" t="inlineStr">
        <is>
          <t>- Spec answers needed BEFORE calling (see RFQ package doc): 1.5" hard requirement or R-value target? Sandwich IMP vs foam-laminated? Panel cut list, gauge, colors, trim package, delivery address, need-by date.</t>
        </is>
      </c>
    </row>
    <row r="20">
      <c r="A20" s="15" t="inlineStr">
        <is>
          <t>- Payment: deposit + progress per supplier terms; customer terms authorize-then-capture / Net-30 only with signed credit terms. Never prepay a supplier beyond its standard deposit.</t>
        </is>
      </c>
    </row>
    <row r="21">
      <c r="A21" s="15" t="inlineStr">
        <is>
          <t>- Published market band (cost-guide grade, pre-quote): PU/PIR IMP $6-14/sf; thin-core exposed-fastener likely $7-10/sf; foam-laminated EPS $4-8/sf.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2026-09-06T23:48:03Z</dcterms:created>
  <dcterms:modified xsi:type="dcterms:W3CDTF">2026-09-06T23:48:03Z</dcterms:modified>
</cp:coreProperties>
</file>